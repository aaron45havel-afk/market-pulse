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 Comparison" sheetId="1" state="visible" r:id="rId3"/>
    <sheet name="Split Lot Scen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<sst xmlns="http://schemas.openxmlformats.org/spreadsheetml/2006/main" count="142" uniqueCount="136">
  <si>
    <t xml:space="preserve">Real Estate Deal Comparison Matrix</t>
  </si>
  <si>
    <t xml:space="preserve">PROPERTY INFO</t>
  </si>
  <si>
    <t xml:space="preserve">Deal #</t>
  </si>
  <si>
    <t xml:space="preserve">Address</t>
  </si>
  <si>
    <t xml:space="preserve">464 42nd St, Oakland, CA 94609</t>
  </si>
  <si>
    <t xml:space="preserve">1033 Magnolia St, Oakland, CA 94607</t>
  </si>
  <si>
    <t xml:space="preserve">Status</t>
  </si>
  <si>
    <t xml:space="preserve">Pending</t>
  </si>
  <si>
    <t xml:space="preserve">For Sale (151 days on market)</t>
  </si>
  <si>
    <t xml:space="preserve">Property Type</t>
  </si>
  <si>
    <t xml:space="preserve">Multi Family (2 homes + garage on 1 lot)</t>
  </si>
  <si>
    <t xml:space="preserve">Multi Family — Victorian, 4 units + unwarranted cottage</t>
  </si>
  <si>
    <t xml:space="preserve">Year Built</t>
  </si>
  <si>
    <t xml:space="preserve">Beds / Baths</t>
  </si>
  <si>
    <t xml:space="preserve">5 bd / 2 ba</t>
  </si>
  <si>
    <t xml:space="preserve">5 bd / 4 ba (across 5 units)</t>
  </si>
  <si>
    <t xml:space="preserve">Sq Ft</t>
  </si>
  <si>
    <t xml:space="preserve">Lot Size</t>
  </si>
  <si>
    <t xml:space="preserve">Not listed</t>
  </si>
  <si>
    <t xml:space="preserve">Walk Score</t>
  </si>
  <si>
    <t xml:space="preserve">N/A</t>
  </si>
  <si>
    <t xml:space="preserve">Notes</t>
  </si>
  <si>
    <t xml:space="preserve">Front house leased; rear needs full rehab; detached garage = ADU potential</t>
  </si>
  <si>
    <t xml:space="preserve">Front: 3-story Victorian w/ 4 units. Rear: unwarranted cottage. Owner unit 1035A vacant. Unit 1031 vacant.</t>
  </si>
  <si>
    <t xml:space="preserve">PURCHASE &amp; FINANCING</t>
  </si>
  <si>
    <t xml:space="preserve">Asking Price</t>
  </si>
  <si>
    <t xml:space="preserve">Price / Sq Ft</t>
  </si>
  <si>
    <t xml:space="preserve">Down Payment %</t>
  </si>
  <si>
    <t xml:space="preserve">Down Payment $</t>
  </si>
  <si>
    <t xml:space="preserve">Loan Amount</t>
  </si>
  <si>
    <t xml:space="preserve">Interest Rate</t>
  </si>
  <si>
    <t xml:space="preserve">Loan Term (years)</t>
  </si>
  <si>
    <t xml:space="preserve">Monthly P&amp;I</t>
  </si>
  <si>
    <t xml:space="preserve">Est. Closing Costs</t>
  </si>
  <si>
    <t xml:space="preserve">Est. Rehab Budget</t>
  </si>
  <si>
    <t xml:space="preserve">Total Cash Needed</t>
  </si>
  <si>
    <t xml:space="preserve">RENTAL INCOME (Monthly)</t>
  </si>
  <si>
    <t xml:space="preserve">Unit Group 1 / Front House</t>
  </si>
  <si>
    <t xml:space="preserve">Unit Group 2 / Rear House</t>
  </si>
  <si>
    <t xml:space="preserve">Unit Group 3 / ADU or Other</t>
  </si>
  <si>
    <t xml:space="preserve">Gross Monthly Rent</t>
  </si>
  <si>
    <t xml:space="preserve">Vacancy Rate</t>
  </si>
  <si>
    <t xml:space="preserve">Effective Gross Income (Monthly)</t>
  </si>
  <si>
    <t xml:space="preserve">Effective Gross Income (Annual)</t>
  </si>
  <si>
    <t xml:space="preserve">OPERATING EXPENSES (Annual)</t>
  </si>
  <si>
    <t xml:space="preserve">Property Taxes</t>
  </si>
  <si>
    <t xml:space="preserve">Insurance</t>
  </si>
  <si>
    <t xml:space="preserve">Maintenance / Repairs</t>
  </si>
  <si>
    <t xml:space="preserve">Property Management (8%)</t>
  </si>
  <si>
    <t xml:space="preserve">Other / Misc</t>
  </si>
  <si>
    <t xml:space="preserve">Total Operating Expenses</t>
  </si>
  <si>
    <t xml:space="preserve">KEY METRICS</t>
  </si>
  <si>
    <t xml:space="preserve">Net Operating Income (NOI)</t>
  </si>
  <si>
    <t xml:space="preserve">Cap Rate</t>
  </si>
  <si>
    <t xml:space="preserve">Annual Debt Service</t>
  </si>
  <si>
    <t xml:space="preserve">Annual Cash Flow (after debt)</t>
  </si>
  <si>
    <t xml:space="preserve">Monthly Cash Flow</t>
  </si>
  <si>
    <t xml:space="preserve">Cash-on-Cash Return</t>
  </si>
  <si>
    <t xml:space="preserve">Debt Service Coverage Ratio</t>
  </si>
  <si>
    <t xml:space="preserve">Gross Rent Multiplier</t>
  </si>
  <si>
    <t xml:space="preserve">VERDICT</t>
  </si>
  <si>
    <t xml:space="preserve">Rating</t>
  </si>
  <si>
    <t xml:space="preserve">Value-Add / Appreciation Play</t>
  </si>
  <si>
    <t xml:space="preserve">Strong Cash Flow + Value-Add</t>
  </si>
  <si>
    <t xml:space="preserve">Cash Flow Day 1?</t>
  </si>
  <si>
    <t xml:space="preserve">NO — negative ~$1,300/mo</t>
  </si>
  <si>
    <t xml:space="preserve">YES — positive from day 1</t>
  </si>
  <si>
    <t xml:space="preserve">Upside</t>
  </si>
  <si>
    <t xml:space="preserve">ADU conversion + rear rehab could push to breakeven+</t>
  </si>
  <si>
    <t xml:space="preserve">Fill vacancies to market, warrant cottage for 6th unit, negotiate price down from $995K</t>
  </si>
  <si>
    <t xml:space="preserve">Risk</t>
  </si>
  <si>
    <t xml:space="preserve">Heavy rehab, Oakland rent control, carrying costs during reno</t>
  </si>
  <si>
    <t xml:space="preserve">1898 Victorian = deferred maintenance risk, unwarranted cottage, West Oakland location, owner pays utilities</t>
  </si>
  <si>
    <t xml:space="preserve">464 42nd St — Split Lot Scenario Analysis</t>
  </si>
  <si>
    <t xml:space="preserve">ACQUISITION COSTS</t>
  </si>
  <si>
    <t xml:space="preserve">Amount</t>
  </si>
  <si>
    <t xml:space="preserve">Purchase Price</t>
  </si>
  <si>
    <t xml:space="preserve">Closing Costs</t>
  </si>
  <si>
    <t xml:space="preserve">Total Acquisition</t>
  </si>
  <si>
    <t xml:space="preserve">DEVELOPMENT COSTS</t>
  </si>
  <si>
    <t xml:space="preserve">Low Est.</t>
  </si>
  <si>
    <t xml:space="preserve">High Est.</t>
  </si>
  <si>
    <t xml:space="preserve">Used in Calc</t>
  </si>
  <si>
    <t xml:space="preserve">Rear House Rehab</t>
  </si>
  <si>
    <t xml:space="preserve">ADU Garage Conversion</t>
  </si>
  <si>
    <t xml:space="preserve">Lot Split (survey, legal, filing)</t>
  </si>
  <si>
    <t xml:space="preserve">Holding Costs (6-12 mo carry)</t>
  </si>
  <si>
    <t xml:space="preserve">Total Development Costs</t>
  </si>
  <si>
    <t xml:space="preserve">TOTAL INVESTMENT</t>
  </si>
  <si>
    <t xml:space="preserve">Total All-In Cost</t>
  </si>
  <si>
    <t xml:space="preserve">ESTIMATED AFTER-SPLIT VALUES</t>
  </si>
  <si>
    <t xml:space="preserve">Mid Est.</t>
  </si>
  <si>
    <t xml:space="preserve">Parcel A — Front House (leased, as-is)</t>
  </si>
  <si>
    <t xml:space="preserve">Parcel B — Rear House Only (rehabbed)</t>
  </si>
  <si>
    <t xml:space="preserve">Parcel B — Rear House + ADU</t>
  </si>
  <si>
    <t xml:space="preserve">SCENARIO 1: Split &amp; Sell Both (No ADU)</t>
  </si>
  <si>
    <t xml:space="preserve">Combined Sale Value</t>
  </si>
  <si>
    <t xml:space="preserve">Total Cost (excl. ADU)</t>
  </si>
  <si>
    <t xml:space="preserve">Gross Profit</t>
  </si>
  <si>
    <t xml:space="preserve">ROI</t>
  </si>
  <si>
    <t xml:space="preserve">SCENARIO 2: Split, Build ADU, Sell Both</t>
  </si>
  <si>
    <t xml:space="preserve">Total Cost (incl. ADU)</t>
  </si>
  <si>
    <t xml:space="preserve">SCENARIO 3: Sell Parcel A, Keep Parcel B as Rental</t>
  </si>
  <si>
    <t xml:space="preserve">Sale of Parcel A</t>
  </si>
  <si>
    <t xml:space="preserve">Est. Basis in Parcel A (~50% of total)</t>
  </si>
  <si>
    <t xml:space="preserve">Net Cash from Sale</t>
  </si>
  <si>
    <t xml:space="preserve">Parcel B Rent — Rear House</t>
  </si>
  <si>
    <t xml:space="preserve">Parcel B Rent — ADU</t>
  </si>
  <si>
    <t xml:space="preserve">Parcel B Gross Monthly Rent</t>
  </si>
  <si>
    <t xml:space="preserve">Parcel B Annual Gross Rent</t>
  </si>
  <si>
    <t xml:space="preserve">Est. Annual Expenses (taxes, ins, maint)</t>
  </si>
  <si>
    <t xml:space="preserve">Parcel B NOI</t>
  </si>
  <si>
    <t xml:space="preserve">Debt on Parcel B?</t>
  </si>
  <si>
    <t xml:space="preserve">Free &amp; clear if sale covers basis</t>
  </si>
  <si>
    <t xml:space="preserve">SB 9 KEY REQUIREMENTS</t>
  </si>
  <si>
    <t xml:space="preserve">Lot Split Ratio</t>
  </si>
  <si>
    <t xml:space="preserve">Max 60/40</t>
  </si>
  <si>
    <t xml:space="preserve">Owner-Occupancy</t>
  </si>
  <si>
    <t xml:space="preserve">Required 3 years on one parcel</t>
  </si>
  <si>
    <t xml:space="preserve">Existing Tenants</t>
  </si>
  <si>
    <t xml:space="preserve">Cannot demolish units rented in past 3 yrs</t>
  </si>
  <si>
    <t xml:space="preserve">Max Units per Parcel</t>
  </si>
  <si>
    <t xml:space="preserve">2 units each (4 total)</t>
  </si>
  <si>
    <t xml:space="preserve">Approval Type</t>
  </si>
  <si>
    <t xml:space="preserve">Ministerial (by-right, no hearing)</t>
  </si>
  <si>
    <t xml:space="preserve">ESTIMATED TIMELINE</t>
  </si>
  <si>
    <t xml:space="preserve">Phase 1 — Close on property</t>
  </si>
  <si>
    <t xml:space="preserve">Month 0</t>
  </si>
  <si>
    <t xml:space="preserve">Phase 2 — File SB 9 lot split</t>
  </si>
  <si>
    <t xml:space="preserve">Months 1-4</t>
  </si>
  <si>
    <t xml:space="preserve">Phase 3 — Rehab rear house</t>
  </si>
  <si>
    <t xml:space="preserve">Months 2-8</t>
  </si>
  <si>
    <t xml:space="preserve">Phase 4 — ADU conversion (optional)</t>
  </si>
  <si>
    <t xml:space="preserve">Months 4-12</t>
  </si>
  <si>
    <t xml:space="preserve">Phase 5 — Sell or refinance</t>
  </si>
  <si>
    <t xml:space="preserve">Months 8-14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</si>
</sst>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0.0%"/>
    <numFmt numFmtId="168" formatCode="0.00%"/>
    <numFmt numFmtId="169" formatCode="\$#,##0;&quot;($&quot;#,##0\);\-"/>
    <numFmt numFmtId="170" formatCode="0.00\x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2EFDA"/>
      </patternFill>
    </fill>
    <fill>
      <patternFill patternType="solid">
        <fgColor rgb="FFE2EFDA"/>
        <bgColor rgb="FFE8E8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B0B0B0"/>
      </right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2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21.75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 t="s">
        <v>2</v>
      </c>
      <c r="B3" s="5" t="n">
        <v>1</v>
      </c>
      <c r="C3" s="5" t="n">
        <v>2</v>
      </c>
    </row>
    <row r="4" customFormat="false" ht="23.25" hidden="false" customHeight="true" outlineLevel="0" collapsed="false">
      <c r="A4" s="4" t="s">
        <v>3</v>
      </c>
      <c r="B4" s="5" t="s">
        <v>4</v>
      </c>
      <c r="C4" s="5" t="s">
        <v>5</v>
      </c>
    </row>
    <row r="5" customFormat="false" ht="15" hidden="false" customHeight="true" outlineLevel="0" collapsed="false">
      <c r="A5" s="4" t="s">
        <v>6</v>
      </c>
      <c r="B5" s="5" t="s">
        <v>7</v>
      </c>
      <c r="C5" s="5" t="s">
        <v>8</v>
      </c>
    </row>
    <row r="6" customFormat="false" ht="23.25" hidden="false" customHeight="true" outlineLevel="0" collapsed="false">
      <c r="A6" s="4" t="s">
        <v>9</v>
      </c>
      <c r="B6" s="5" t="s">
        <v>10</v>
      </c>
      <c r="C6" s="5" t="s">
        <v>11</v>
      </c>
    </row>
    <row r="7" customFormat="false" ht="15" hidden="false" customHeight="true" outlineLevel="0" collapsed="false">
      <c r="A7" s="4" t="s">
        <v>12</v>
      </c>
      <c r="B7" s="5" t="n">
        <v>1949</v>
      </c>
      <c r="C7" s="5" t="n">
        <v>1898</v>
      </c>
    </row>
    <row r="8" customFormat="false" ht="15" hidden="false" customHeight="true" outlineLevel="0" collapsed="false">
      <c r="A8" s="4" t="s">
        <v>13</v>
      </c>
      <c r="B8" s="5" t="s">
        <v>14</v>
      </c>
      <c r="C8" s="5" t="s">
        <v>15</v>
      </c>
    </row>
    <row r="9" customFormat="false" ht="15" hidden="false" customHeight="true" outlineLevel="0" collapsed="false">
      <c r="A9" s="4" t="s">
        <v>16</v>
      </c>
      <c r="B9" s="6" t="n">
        <v>2000</v>
      </c>
      <c r="C9" s="6" t="n">
        <v>3940</v>
      </c>
    </row>
    <row r="10" customFormat="false" ht="15" hidden="false" customHeight="true" outlineLevel="0" collapsed="false">
      <c r="A10" s="4" t="s">
        <v>17</v>
      </c>
      <c r="B10" s="5" t="s">
        <v>18</v>
      </c>
      <c r="C10" s="5" t="s">
        <v>18</v>
      </c>
    </row>
    <row r="11" customFormat="false" ht="15" hidden="false" customHeight="true" outlineLevel="0" collapsed="false">
      <c r="A11" s="4" t="s">
        <v>19</v>
      </c>
      <c r="B11" s="5" t="n">
        <v>88</v>
      </c>
      <c r="C11" s="5" t="s">
        <v>20</v>
      </c>
    </row>
    <row r="12" customFormat="false" ht="34.5" hidden="false" customHeight="true" outlineLevel="0" collapsed="false">
      <c r="A12" s="4" t="s">
        <v>21</v>
      </c>
      <c r="B12" s="5" t="s">
        <v>22</v>
      </c>
      <c r="C12" s="5" t="s">
        <v>23</v>
      </c>
    </row>
    <row r="13" customFormat="false" ht="21.75" hidden="false" customHeight="true" outlineLevel="0" collapsed="false">
      <c r="A13" s="3" t="s">
        <v>24</v>
      </c>
      <c r="B13" s="3"/>
      <c r="C13" s="3"/>
    </row>
    <row r="14" customFormat="false" ht="15" hidden="false" customHeight="true" outlineLevel="0" collapsed="false">
      <c r="A14" s="4" t="s">
        <v>25</v>
      </c>
      <c r="B14" s="7" t="n">
        <v>799000</v>
      </c>
      <c r="C14" s="7" t="n">
        <v>995000</v>
      </c>
    </row>
    <row r="15" customFormat="false" ht="15" hidden="false" customHeight="true" outlineLevel="0" collapsed="false">
      <c r="A15" s="4" t="s">
        <v>26</v>
      </c>
      <c r="B15" s="8" t="n">
        <f aca="false">B14/B9</f>
        <v>399.5</v>
      </c>
      <c r="C15" s="8" t="n">
        <f aca="false">C14/C9</f>
        <v>252.53807106599</v>
      </c>
    </row>
    <row r="16" customFormat="false" ht="15" hidden="false" customHeight="true" outlineLevel="0" collapsed="false">
      <c r="A16" s="9" t="s">
        <v>27</v>
      </c>
      <c r="B16" s="10" t="n">
        <v>0.2</v>
      </c>
      <c r="C16" s="10" t="n">
        <v>0.25</v>
      </c>
    </row>
    <row r="17" customFormat="false" ht="15" hidden="false" customHeight="true" outlineLevel="0" collapsed="false">
      <c r="A17" s="4" t="s">
        <v>28</v>
      </c>
      <c r="B17" s="8" t="n">
        <f aca="false">B14*B16</f>
        <v>159800</v>
      </c>
      <c r="C17" s="8" t="n">
        <f aca="false">C14*C16</f>
        <v>248750</v>
      </c>
    </row>
    <row r="18" customFormat="false" ht="15" hidden="false" customHeight="true" outlineLevel="0" collapsed="false">
      <c r="A18" s="4" t="s">
        <v>29</v>
      </c>
      <c r="B18" s="8" t="n">
        <f aca="false">B14-B17</f>
        <v>639200</v>
      </c>
      <c r="C18" s="8" t="n">
        <f aca="false">C14-C17</f>
        <v>746250</v>
      </c>
    </row>
    <row r="19" customFormat="false" ht="15" hidden="false" customHeight="true" outlineLevel="0" collapsed="false">
      <c r="A19" s="9" t="s">
        <v>30</v>
      </c>
      <c r="B19" s="11" t="n">
        <v>0.06625</v>
      </c>
      <c r="C19" s="11" t="n">
        <v>0.06625</v>
      </c>
    </row>
    <row r="20" customFormat="false" ht="15" hidden="false" customHeight="true" outlineLevel="0" collapsed="false">
      <c r="A20" s="9" t="s">
        <v>31</v>
      </c>
      <c r="B20" s="12" t="n">
        <v>30</v>
      </c>
      <c r="C20" s="12" t="n">
        <v>30</v>
      </c>
    </row>
    <row r="21" customFormat="false" ht="15" hidden="false" customHeight="true" outlineLevel="0" collapsed="false">
      <c r="A21" s="4" t="s">
        <v>32</v>
      </c>
      <c r="B21" s="8" t="n">
        <f aca="false">-PMT(B19/12, B20*12, B18)</f>
        <v>4092.86766319217</v>
      </c>
      <c r="C21" s="8" t="n">
        <f aca="false">-PMT(C19/12,C20*12,C18)</f>
        <v>4778.32054702309</v>
      </c>
    </row>
    <row r="22" customFormat="false" ht="15" hidden="false" customHeight="true" outlineLevel="0" collapsed="false">
      <c r="A22" s="9" t="s">
        <v>33</v>
      </c>
      <c r="B22" s="13" t="n">
        <v>15000</v>
      </c>
      <c r="C22" s="13" t="n">
        <v>20000</v>
      </c>
    </row>
    <row r="23" customFormat="false" ht="15" hidden="false" customHeight="true" outlineLevel="0" collapsed="false">
      <c r="A23" s="9" t="s">
        <v>34</v>
      </c>
      <c r="B23" s="13" t="n">
        <v>400000</v>
      </c>
      <c r="C23" s="13" t="n">
        <v>45000</v>
      </c>
    </row>
    <row r="24" customFormat="false" ht="15" hidden="false" customHeight="true" outlineLevel="0" collapsed="false">
      <c r="A24" s="14" t="s">
        <v>35</v>
      </c>
      <c r="B24" s="15" t="n">
        <f aca="false">B17+B22+B23</f>
        <v>574800</v>
      </c>
      <c r="C24" s="15" t="n">
        <f aca="false">C17+C22+C23</f>
        <v>313750</v>
      </c>
    </row>
    <row r="25" customFormat="false" ht="21.75" hidden="false" customHeight="true" outlineLevel="0" collapsed="false">
      <c r="A25" s="3" t="s">
        <v>36</v>
      </c>
      <c r="B25" s="3"/>
      <c r="C25" s="3"/>
    </row>
    <row r="26" customFormat="false" ht="15" hidden="false" customHeight="true" outlineLevel="0" collapsed="false">
      <c r="A26" s="9" t="s">
        <v>37</v>
      </c>
      <c r="B26" s="13" t="n">
        <v>2800</v>
      </c>
      <c r="C26" s="13" t="n">
        <v>4349</v>
      </c>
    </row>
    <row r="27" customFormat="false" ht="15" hidden="false" customHeight="true" outlineLevel="0" collapsed="false">
      <c r="A27" s="9" t="s">
        <v>38</v>
      </c>
      <c r="B27" s="13" t="n">
        <v>2200</v>
      </c>
      <c r="C27" s="13" t="n">
        <v>5990</v>
      </c>
    </row>
    <row r="28" customFormat="false" ht="15" hidden="false" customHeight="true" outlineLevel="0" collapsed="false">
      <c r="A28" s="9" t="s">
        <v>39</v>
      </c>
      <c r="B28" s="13" t="n">
        <v>0</v>
      </c>
      <c r="C28" s="13" t="n">
        <v>0</v>
      </c>
    </row>
    <row r="29" customFormat="false" ht="15" hidden="false" customHeight="true" outlineLevel="0" collapsed="false">
      <c r="A29" s="14" t="s">
        <v>40</v>
      </c>
      <c r="B29" s="15" t="n">
        <f aca="false">SUM(B26:B28)</f>
        <v>5000</v>
      </c>
      <c r="C29" s="15" t="n">
        <f aca="false">SUM(C26:C28)</f>
        <v>10339</v>
      </c>
    </row>
    <row r="30" customFormat="false" ht="15" hidden="false" customHeight="true" outlineLevel="0" collapsed="false">
      <c r="A30" s="9" t="s">
        <v>41</v>
      </c>
      <c r="B30" s="10" t="n">
        <v>0.05</v>
      </c>
      <c r="C30" s="10" t="n">
        <v>0.05</v>
      </c>
    </row>
    <row r="31" customFormat="false" ht="15" hidden="false" customHeight="true" outlineLevel="0" collapsed="false">
      <c r="A31" s="4" t="s">
        <v>42</v>
      </c>
      <c r="B31" s="8" t="n">
        <f aca="false">B29*(1-B30)</f>
        <v>4750</v>
      </c>
      <c r="C31" s="8" t="n">
        <f aca="false">C29*(1-C30)</f>
        <v>9822.05</v>
      </c>
    </row>
    <row r="32" customFormat="false" ht="15" hidden="false" customHeight="true" outlineLevel="0" collapsed="false">
      <c r="A32" s="14" t="s">
        <v>43</v>
      </c>
      <c r="B32" s="15" t="n">
        <f aca="false">B31*12</f>
        <v>57000</v>
      </c>
      <c r="C32" s="15" t="n">
        <f aca="false">C31*12</f>
        <v>117864.6</v>
      </c>
    </row>
    <row r="33" customFormat="false" ht="21.75" hidden="false" customHeight="true" outlineLevel="0" collapsed="false">
      <c r="A33" s="3" t="s">
        <v>44</v>
      </c>
      <c r="B33" s="3"/>
      <c r="C33" s="3"/>
    </row>
    <row r="34" customFormat="false" ht="15" hidden="false" customHeight="true" outlineLevel="0" collapsed="false">
      <c r="A34" s="9" t="s">
        <v>45</v>
      </c>
      <c r="B34" s="13" t="n">
        <v>9588</v>
      </c>
      <c r="C34" s="13" t="n">
        <v>15962</v>
      </c>
    </row>
    <row r="35" customFormat="false" ht="15" hidden="false" customHeight="true" outlineLevel="0" collapsed="false">
      <c r="A35" s="9" t="s">
        <v>46</v>
      </c>
      <c r="B35" s="13" t="n">
        <v>3200</v>
      </c>
      <c r="C35" s="13" t="n">
        <v>3250</v>
      </c>
    </row>
    <row r="36" customFormat="false" ht="15" hidden="false" customHeight="true" outlineLevel="0" collapsed="false">
      <c r="A36" s="9" t="s">
        <v>47</v>
      </c>
      <c r="B36" s="13" t="n">
        <v>6000</v>
      </c>
      <c r="C36" s="13" t="n">
        <v>5200</v>
      </c>
    </row>
    <row r="37" customFormat="false" ht="15" hidden="false" customHeight="true" outlineLevel="0" collapsed="false">
      <c r="A37" s="9" t="s">
        <v>48</v>
      </c>
      <c r="B37" s="13" t="n">
        <v>4560</v>
      </c>
      <c r="C37" s="13" t="n">
        <v>0</v>
      </c>
    </row>
    <row r="38" customFormat="false" ht="15" hidden="false" customHeight="true" outlineLevel="0" collapsed="false">
      <c r="A38" s="9" t="s">
        <v>49</v>
      </c>
      <c r="B38" s="13" t="n">
        <v>0</v>
      </c>
      <c r="C38" s="13" t="n">
        <v>11196</v>
      </c>
    </row>
    <row r="39" customFormat="false" ht="15" hidden="false" customHeight="true" outlineLevel="0" collapsed="false">
      <c r="A39" s="14" t="s">
        <v>50</v>
      </c>
      <c r="B39" s="15" t="n">
        <f aca="false">SUM(B34:B38)</f>
        <v>23348</v>
      </c>
      <c r="C39" s="15" t="n">
        <f aca="false">SUM(C34:C38)</f>
        <v>35608</v>
      </c>
    </row>
    <row r="40" customFormat="false" ht="21.75" hidden="false" customHeight="true" outlineLevel="0" collapsed="false">
      <c r="A40" s="3" t="s">
        <v>51</v>
      </c>
      <c r="B40" s="3"/>
      <c r="C40" s="3"/>
    </row>
    <row r="41" customFormat="false" ht="15" hidden="false" customHeight="true" outlineLevel="0" collapsed="false">
      <c r="A41" s="14" t="s">
        <v>52</v>
      </c>
      <c r="B41" s="15" t="n">
        <f aca="false">B32-B39</f>
        <v>33652</v>
      </c>
      <c r="C41" s="15" t="n">
        <f aca="false">C32-C39</f>
        <v>82256.6</v>
      </c>
    </row>
    <row r="42" customFormat="false" ht="15" hidden="false" customHeight="true" outlineLevel="0" collapsed="false">
      <c r="A42" s="14" t="s">
        <v>53</v>
      </c>
      <c r="B42" s="16" t="n">
        <f aca="false">B41/B14</f>
        <v>0.0421176470588235</v>
      </c>
      <c r="C42" s="16" t="n">
        <f aca="false">C41/C14</f>
        <v>0.0826699497487437</v>
      </c>
    </row>
    <row r="43" customFormat="false" ht="15" hidden="false" customHeight="true" outlineLevel="0" collapsed="false">
      <c r="A43" s="4" t="s">
        <v>54</v>
      </c>
      <c r="B43" s="8" t="n">
        <f aca="false">B21*12</f>
        <v>49114.4119583061</v>
      </c>
      <c r="C43" s="8" t="n">
        <f aca="false">C21*12</f>
        <v>57339.846564277</v>
      </c>
    </row>
    <row r="44" customFormat="false" ht="15" hidden="false" customHeight="true" outlineLevel="0" collapsed="false">
      <c r="A44" s="14" t="s">
        <v>55</v>
      </c>
      <c r="B44" s="17" t="n">
        <f aca="false">B41-B43</f>
        <v>-15462.4119583061</v>
      </c>
      <c r="C44" s="17" t="n">
        <f aca="false">C41-C43</f>
        <v>24916.7534357229</v>
      </c>
    </row>
    <row r="45" customFormat="false" ht="15" hidden="false" customHeight="true" outlineLevel="0" collapsed="false">
      <c r="A45" s="14" t="s">
        <v>56</v>
      </c>
      <c r="B45" s="17" t="n">
        <f aca="false">B44/12</f>
        <v>-1288.53432985884</v>
      </c>
      <c r="C45" s="17" t="n">
        <f aca="false">C44/12</f>
        <v>2076.39611964358</v>
      </c>
    </row>
    <row r="46" customFormat="false" ht="15" hidden="false" customHeight="true" outlineLevel="0" collapsed="false">
      <c r="A46" s="14" t="s">
        <v>57</v>
      </c>
      <c r="B46" s="16" t="n">
        <f aca="false">IF(B24=0,0,B44/B24)</f>
        <v>-0.0269005079302471</v>
      </c>
      <c r="C46" s="16" t="n">
        <f aca="false">IF(C24=0,0,C44/C24)</f>
        <v>0.0794159472054915</v>
      </c>
    </row>
    <row r="47" customFormat="false" ht="15" hidden="false" customHeight="true" outlineLevel="0" collapsed="false">
      <c r="A47" s="4" t="s">
        <v>58</v>
      </c>
      <c r="B47" s="18" t="n">
        <f aca="false">IF(B43=0,0,B41/B43)</f>
        <v>0.68517566755289</v>
      </c>
      <c r="C47" s="18" t="n">
        <f aca="false">IF(C43=0,0,C41/C43)</f>
        <v>1.43454517109305</v>
      </c>
    </row>
    <row r="48" customFormat="false" ht="15" hidden="false" customHeight="true" outlineLevel="0" collapsed="false">
      <c r="A48" s="4" t="s">
        <v>59</v>
      </c>
      <c r="B48" s="19" t="n">
        <f aca="false">IF(B29=0,0,B14/(B29*12))</f>
        <v>13.3166666666667</v>
      </c>
      <c r="C48" s="19" t="n">
        <f aca="false">IF(C29=0,0,C14/(C29*12))</f>
        <v>8.01979559596351</v>
      </c>
    </row>
    <row r="49" customFormat="false" ht="21.75" hidden="false" customHeight="true" outlineLevel="0" collapsed="false">
      <c r="A49" s="3" t="s">
        <v>60</v>
      </c>
      <c r="B49" s="3"/>
      <c r="C49" s="3"/>
    </row>
    <row r="50" customFormat="false" ht="23.25" hidden="false" customHeight="true" outlineLevel="0" collapsed="false">
      <c r="A50" s="4" t="s">
        <v>61</v>
      </c>
      <c r="B50" s="5" t="s">
        <v>62</v>
      </c>
      <c r="C50" s="5" t="s">
        <v>63</v>
      </c>
    </row>
    <row r="51" customFormat="false" ht="23.25" hidden="false" customHeight="true" outlineLevel="0" collapsed="false">
      <c r="A51" s="4" t="s">
        <v>64</v>
      </c>
      <c r="B51" s="5" t="s">
        <v>65</v>
      </c>
      <c r="C51" s="5" t="s">
        <v>66</v>
      </c>
    </row>
    <row r="52" customFormat="false" ht="34.5" hidden="false" customHeight="true" outlineLevel="0" collapsed="false">
      <c r="A52" s="4" t="s">
        <v>67</v>
      </c>
      <c r="B52" s="5" t="s">
        <v>68</v>
      </c>
      <c r="C52" s="5" t="s">
        <v>69</v>
      </c>
    </row>
    <row r="53" customFormat="false" ht="34.5" hidden="false" customHeight="true" outlineLevel="0" collapsed="false">
      <c r="A53" s="4" t="s">
        <v>70</v>
      </c>
      <c r="B53" s="5" t="s">
        <v>71</v>
      </c>
      <c r="C53" s="5" t="s">
        <v>72</v>
      </c>
    </row>
  </sheetData>
  <mergeCells count="7">
    <mergeCell ref="A1:C1"/>
    <mergeCell ref="A2:C2"/>
    <mergeCell ref="A13:C13"/>
    <mergeCell ref="A25:C25"/>
    <mergeCell ref="A33:C33"/>
    <mergeCell ref="A40:C40"/>
    <mergeCell ref="A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30" hidden="false" customHeight="true" outlineLevel="0" collapsed="false">
      <c r="A1" s="20" t="s">
        <v>73</v>
      </c>
      <c r="B1" s="20"/>
      <c r="C1" s="20"/>
      <c r="D1" s="20"/>
    </row>
    <row r="2" customFormat="false" ht="21.75" hidden="false" customHeight="true" outlineLevel="0" collapsed="false">
      <c r="A2" s="21" t="s">
        <v>74</v>
      </c>
      <c r="B2" s="21"/>
      <c r="C2" s="21"/>
      <c r="D2" s="21"/>
    </row>
    <row r="3" customFormat="false" ht="15" hidden="false" customHeight="true" outlineLevel="0" collapsed="false">
      <c r="A3" s="22"/>
      <c r="B3" s="22" t="s">
        <v>75</v>
      </c>
      <c r="C3" s="22"/>
      <c r="D3" s="22"/>
    </row>
    <row r="4" customFormat="false" ht="15" hidden="false" customHeight="true" outlineLevel="0" collapsed="false">
      <c r="A4" s="4" t="s">
        <v>76</v>
      </c>
      <c r="B4" s="23" t="n">
        <v>799000</v>
      </c>
      <c r="C4" s="23"/>
      <c r="D4" s="23"/>
    </row>
    <row r="5" customFormat="false" ht="15" hidden="false" customHeight="true" outlineLevel="0" collapsed="false">
      <c r="A5" s="4" t="s">
        <v>77</v>
      </c>
      <c r="B5" s="24" t="n">
        <v>15000</v>
      </c>
      <c r="C5" s="24"/>
      <c r="D5" s="24"/>
    </row>
    <row r="6" customFormat="false" ht="15" hidden="false" customHeight="true" outlineLevel="0" collapsed="false">
      <c r="A6" s="14" t="s">
        <v>78</v>
      </c>
      <c r="B6" s="25" t="n">
        <f aca="false">B4+B5</f>
        <v>814000</v>
      </c>
      <c r="C6" s="25"/>
      <c r="D6" s="25"/>
    </row>
    <row r="7" customFormat="false" ht="21.75" hidden="false" customHeight="true" outlineLevel="0" collapsed="false">
      <c r="A7" s="21" t="s">
        <v>79</v>
      </c>
      <c r="B7" s="21"/>
      <c r="C7" s="21"/>
      <c r="D7" s="21"/>
    </row>
    <row r="8" customFormat="false" ht="15" hidden="false" customHeight="true" outlineLevel="0" collapsed="false">
      <c r="A8" s="22"/>
      <c r="B8" s="22" t="s">
        <v>80</v>
      </c>
      <c r="C8" s="22" t="s">
        <v>81</v>
      </c>
      <c r="D8" s="22" t="s">
        <v>82</v>
      </c>
    </row>
    <row r="9" customFormat="false" ht="15" hidden="false" customHeight="true" outlineLevel="0" collapsed="false">
      <c r="A9" s="4" t="s">
        <v>83</v>
      </c>
      <c r="B9" s="24" t="n">
        <v>350000</v>
      </c>
      <c r="C9" s="24" t="n">
        <v>450000</v>
      </c>
      <c r="D9" s="24" t="n">
        <v>400000</v>
      </c>
    </row>
    <row r="10" customFormat="false" ht="15" hidden="false" customHeight="true" outlineLevel="0" collapsed="false">
      <c r="A10" s="4" t="s">
        <v>84</v>
      </c>
      <c r="B10" s="24" t="n">
        <v>80000</v>
      </c>
      <c r="C10" s="24" t="n">
        <v>150000</v>
      </c>
      <c r="D10" s="24" t="n">
        <v>115000</v>
      </c>
    </row>
    <row r="11" customFormat="false" ht="15" hidden="false" customHeight="true" outlineLevel="0" collapsed="false">
      <c r="A11" s="4" t="s">
        <v>85</v>
      </c>
      <c r="B11" s="24" t="n">
        <v>15000</v>
      </c>
      <c r="C11" s="24" t="n">
        <v>30000</v>
      </c>
      <c r="D11" s="24" t="n">
        <v>22500</v>
      </c>
    </row>
    <row r="12" customFormat="false" ht="15" hidden="false" customHeight="true" outlineLevel="0" collapsed="false">
      <c r="A12" s="4" t="s">
        <v>86</v>
      </c>
      <c r="B12" s="24" t="n">
        <v>25000</v>
      </c>
      <c r="C12" s="24" t="n">
        <v>50000</v>
      </c>
      <c r="D12" s="24" t="n">
        <v>37500</v>
      </c>
    </row>
    <row r="13" customFormat="false" ht="15" hidden="false" customHeight="true" outlineLevel="0" collapsed="false">
      <c r="A13" s="14" t="s">
        <v>87</v>
      </c>
      <c r="B13" s="25" t="n">
        <f aca="false">SUM(B9:B12)</f>
        <v>470000</v>
      </c>
      <c r="C13" s="25" t="n">
        <f aca="false">SUM(C9:C12)</f>
        <v>680000</v>
      </c>
      <c r="D13" s="25" t="n">
        <f aca="false">SUM(D9:D12)</f>
        <v>575000</v>
      </c>
    </row>
    <row r="14" customFormat="false" ht="21.75" hidden="false" customHeight="true" outlineLevel="0" collapsed="false">
      <c r="A14" s="21" t="s">
        <v>88</v>
      </c>
      <c r="B14" s="21"/>
      <c r="C14" s="21"/>
      <c r="D14" s="21"/>
    </row>
    <row r="15" customFormat="false" ht="15" hidden="false" customHeight="true" outlineLevel="0" collapsed="false">
      <c r="A15" s="14" t="s">
        <v>89</v>
      </c>
      <c r="B15" s="25" t="n">
        <f aca="false">B6+B13</f>
        <v>1284000</v>
      </c>
      <c r="C15" s="25" t="n">
        <f aca="false">B6+C13</f>
        <v>1494000</v>
      </c>
      <c r="D15" s="25" t="n">
        <f aca="false">B6+D13</f>
        <v>1389000</v>
      </c>
    </row>
    <row r="16" customFormat="false" ht="21.75" hidden="false" customHeight="true" outlineLevel="0" collapsed="false">
      <c r="A16" s="21" t="s">
        <v>90</v>
      </c>
      <c r="B16" s="21"/>
      <c r="C16" s="21"/>
      <c r="D16" s="21"/>
    </row>
    <row r="17" customFormat="false" ht="15" hidden="false" customHeight="true" outlineLevel="0" collapsed="false">
      <c r="A17" s="22"/>
      <c r="B17" s="22" t="s">
        <v>80</v>
      </c>
      <c r="C17" s="22" t="s">
        <v>81</v>
      </c>
      <c r="D17" s="22" t="s">
        <v>91</v>
      </c>
    </row>
    <row r="18" customFormat="false" ht="15" hidden="false" customHeight="true" outlineLevel="0" collapsed="false">
      <c r="A18" s="4" t="s">
        <v>92</v>
      </c>
      <c r="B18" s="24" t="n">
        <v>550000</v>
      </c>
      <c r="C18" s="24" t="n">
        <v>650000</v>
      </c>
      <c r="D18" s="26" t="n">
        <f aca="false">AVERAGE(B18,C18)</f>
        <v>600000</v>
      </c>
    </row>
    <row r="19" customFormat="false" ht="15" hidden="false" customHeight="true" outlineLevel="0" collapsed="false">
      <c r="A19" s="4" t="s">
        <v>93</v>
      </c>
      <c r="B19" s="24" t="n">
        <v>475000</v>
      </c>
      <c r="C19" s="24" t="n">
        <v>575000</v>
      </c>
      <c r="D19" s="26" t="n">
        <f aca="false">AVERAGE(B19,C19)</f>
        <v>525000</v>
      </c>
    </row>
    <row r="20" customFormat="false" ht="15" hidden="false" customHeight="true" outlineLevel="0" collapsed="false">
      <c r="A20" s="4" t="s">
        <v>94</v>
      </c>
      <c r="B20" s="24" t="n">
        <v>600000</v>
      </c>
      <c r="C20" s="24" t="n">
        <v>750000</v>
      </c>
      <c r="D20" s="26" t="n">
        <f aca="false">AVERAGE(B20,C20)</f>
        <v>675000</v>
      </c>
    </row>
    <row r="21" customFormat="false" ht="21.75" hidden="false" customHeight="true" outlineLevel="0" collapsed="false">
      <c r="A21" s="21" t="s">
        <v>95</v>
      </c>
      <c r="B21" s="21"/>
      <c r="C21" s="21"/>
      <c r="D21" s="21"/>
    </row>
    <row r="22" customFormat="false" ht="15" hidden="false" customHeight="true" outlineLevel="0" collapsed="false">
      <c r="A22" s="4" t="s">
        <v>96</v>
      </c>
      <c r="B22" s="27" t="n">
        <f aca="false">B18+B19</f>
        <v>1025000</v>
      </c>
      <c r="C22" s="27" t="n">
        <f aca="false">C18+C19</f>
        <v>1225000</v>
      </c>
      <c r="D22" s="27" t="n">
        <f aca="false">D18+D19</f>
        <v>1125000</v>
      </c>
    </row>
    <row r="23" customFormat="false" ht="15" hidden="false" customHeight="true" outlineLevel="0" collapsed="false">
      <c r="A23" s="4" t="s">
        <v>97</v>
      </c>
      <c r="B23" s="27" t="n">
        <f aca="false">B15-B10</f>
        <v>1204000</v>
      </c>
      <c r="C23" s="27" t="n">
        <f aca="false">C15-C10</f>
        <v>1344000</v>
      </c>
      <c r="D23" s="27" t="n">
        <f aca="false">D15-D10</f>
        <v>1274000</v>
      </c>
    </row>
    <row r="24" customFormat="false" ht="15" hidden="false" customHeight="true" outlineLevel="0" collapsed="false">
      <c r="A24" s="14" t="s">
        <v>98</v>
      </c>
      <c r="B24" s="28" t="n">
        <f aca="false">B22-B23</f>
        <v>-179000</v>
      </c>
      <c r="C24" s="28" t="n">
        <f aca="false">C22-C23</f>
        <v>-119000</v>
      </c>
      <c r="D24" s="28" t="n">
        <f aca="false">D22-D23</f>
        <v>-149000</v>
      </c>
    </row>
    <row r="25" customFormat="false" ht="15" hidden="false" customHeight="true" outlineLevel="0" collapsed="false">
      <c r="A25" s="14" t="s">
        <v>99</v>
      </c>
      <c r="B25" s="29" t="n">
        <f aca="false">IF(B23=0,0,B24/B23)</f>
        <v>-0.148671096345515</v>
      </c>
      <c r="C25" s="29" t="n">
        <f aca="false">IF(C23=0,0,C24/C23)</f>
        <v>-0.0885416666666667</v>
      </c>
      <c r="D25" s="29" t="n">
        <f aca="false">IF(D23=0,0,D24/D23)</f>
        <v>-0.116954474097331</v>
      </c>
    </row>
    <row r="26" customFormat="false" ht="21.75" hidden="false" customHeight="true" outlineLevel="0" collapsed="false">
      <c r="A26" s="21" t="s">
        <v>100</v>
      </c>
      <c r="B26" s="21"/>
      <c r="C26" s="21"/>
      <c r="D26" s="21"/>
    </row>
    <row r="27" customFormat="false" ht="15" hidden="false" customHeight="true" outlineLevel="0" collapsed="false">
      <c r="A27" s="4" t="s">
        <v>96</v>
      </c>
      <c r="B27" s="27" t="n">
        <f aca="false">B18+B20</f>
        <v>1150000</v>
      </c>
      <c r="C27" s="27" t="n">
        <f aca="false">C18+C20</f>
        <v>1400000</v>
      </c>
      <c r="D27" s="27" t="n">
        <f aca="false">D18+D20</f>
        <v>1275000</v>
      </c>
    </row>
    <row r="28" customFormat="false" ht="15" hidden="false" customHeight="true" outlineLevel="0" collapsed="false">
      <c r="A28" s="4" t="s">
        <v>101</v>
      </c>
      <c r="B28" s="27" t="n">
        <f aca="false">B15</f>
        <v>1284000</v>
      </c>
      <c r="C28" s="27" t="n">
        <f aca="false">C15</f>
        <v>1494000</v>
      </c>
      <c r="D28" s="27" t="n">
        <f aca="false">D15</f>
        <v>1389000</v>
      </c>
    </row>
    <row r="29" customFormat="false" ht="15" hidden="false" customHeight="true" outlineLevel="0" collapsed="false">
      <c r="A29" s="14" t="s">
        <v>98</v>
      </c>
      <c r="B29" s="28" t="n">
        <f aca="false">B27-B28</f>
        <v>-134000</v>
      </c>
      <c r="C29" s="28" t="n">
        <f aca="false">C27-C28</f>
        <v>-94000</v>
      </c>
      <c r="D29" s="28" t="n">
        <f aca="false">D27-D28</f>
        <v>-114000</v>
      </c>
    </row>
    <row r="30" customFormat="false" ht="15" hidden="false" customHeight="true" outlineLevel="0" collapsed="false">
      <c r="A30" s="14" t="s">
        <v>99</v>
      </c>
      <c r="B30" s="29" t="n">
        <f aca="false">IF(B28=0,0,B29/B28)</f>
        <v>-0.104361370716511</v>
      </c>
      <c r="C30" s="29" t="n">
        <f aca="false">IF(C28=0,0,C29/C28)</f>
        <v>-0.0629183400267738</v>
      </c>
      <c r="D30" s="29" t="n">
        <f aca="false">IF(D28=0,0,D29/D28)</f>
        <v>-0.08207343412527</v>
      </c>
    </row>
    <row r="31" customFormat="false" ht="21.75" hidden="false" customHeight="true" outlineLevel="0" collapsed="false">
      <c r="A31" s="21" t="s">
        <v>102</v>
      </c>
      <c r="B31" s="21"/>
      <c r="C31" s="21"/>
      <c r="D31" s="21"/>
    </row>
    <row r="32" customFormat="false" ht="15" hidden="false" customHeight="true" outlineLevel="0" collapsed="false">
      <c r="A32" s="4" t="s">
        <v>103</v>
      </c>
      <c r="B32" s="27" t="n">
        <f aca="false">B18</f>
        <v>550000</v>
      </c>
      <c r="C32" s="27" t="n">
        <f aca="false">C18</f>
        <v>650000</v>
      </c>
      <c r="D32" s="27" t="n">
        <f aca="false">D18</f>
        <v>600000</v>
      </c>
    </row>
    <row r="33" customFormat="false" ht="15" hidden="false" customHeight="true" outlineLevel="0" collapsed="false">
      <c r="A33" s="4" t="s">
        <v>104</v>
      </c>
      <c r="B33" s="27" t="n">
        <f aca="false">D15*0.5</f>
        <v>694500</v>
      </c>
      <c r="C33" s="27" t="n">
        <f aca="false">D15*0.5</f>
        <v>694500</v>
      </c>
      <c r="D33" s="27" t="n">
        <f aca="false">D15*0.5</f>
        <v>694500</v>
      </c>
    </row>
    <row r="34" customFormat="false" ht="15" hidden="false" customHeight="true" outlineLevel="0" collapsed="false">
      <c r="A34" s="14" t="s">
        <v>105</v>
      </c>
      <c r="B34" s="28" t="n">
        <f aca="false">B32-B33</f>
        <v>-144500</v>
      </c>
      <c r="C34" s="28" t="n">
        <f aca="false">C32-C33</f>
        <v>-44500</v>
      </c>
      <c r="D34" s="28" t="n">
        <f aca="false">D32-D33</f>
        <v>-94500</v>
      </c>
    </row>
    <row r="36" customFormat="false" ht="15" hidden="false" customHeight="true" outlineLevel="0" collapsed="false">
      <c r="A36" s="4" t="s">
        <v>106</v>
      </c>
      <c r="B36" s="24" t="n">
        <v>2200</v>
      </c>
      <c r="C36" s="24" t="n">
        <v>2200</v>
      </c>
      <c r="D36" s="24" t="n">
        <v>2200</v>
      </c>
    </row>
    <row r="37" customFormat="false" ht="15" hidden="false" customHeight="true" outlineLevel="0" collapsed="false">
      <c r="A37" s="4" t="s">
        <v>107</v>
      </c>
      <c r="B37" s="24" t="n">
        <v>1500</v>
      </c>
      <c r="C37" s="24" t="n">
        <v>2000</v>
      </c>
      <c r="D37" s="24" t="n">
        <v>1750</v>
      </c>
    </row>
    <row r="38" customFormat="false" ht="15" hidden="false" customHeight="true" outlineLevel="0" collapsed="false">
      <c r="A38" s="14" t="s">
        <v>108</v>
      </c>
      <c r="B38" s="25" t="n">
        <f aca="false">B36+B37</f>
        <v>3700</v>
      </c>
      <c r="C38" s="25" t="n">
        <f aca="false">C36+C37</f>
        <v>4200</v>
      </c>
      <c r="D38" s="25" t="n">
        <f aca="false">D36+D37</f>
        <v>3950</v>
      </c>
    </row>
    <row r="39" customFormat="false" ht="15" hidden="false" customHeight="true" outlineLevel="0" collapsed="false">
      <c r="A39" s="4" t="s">
        <v>109</v>
      </c>
      <c r="B39" s="27" t="n">
        <f aca="false">B38*12</f>
        <v>44400</v>
      </c>
      <c r="C39" s="27" t="n">
        <f aca="false">C38*12</f>
        <v>50400</v>
      </c>
      <c r="D39" s="27" t="n">
        <f aca="false">D38*12</f>
        <v>47400</v>
      </c>
    </row>
    <row r="40" customFormat="false" ht="15" hidden="false" customHeight="true" outlineLevel="0" collapsed="false">
      <c r="A40" s="4" t="s">
        <v>110</v>
      </c>
      <c r="B40" s="24" t="n">
        <v>8000</v>
      </c>
      <c r="C40" s="24" t="n">
        <v>10000</v>
      </c>
      <c r="D40" s="24" t="n">
        <v>9000</v>
      </c>
    </row>
    <row r="41" customFormat="false" ht="15" hidden="false" customHeight="true" outlineLevel="0" collapsed="false">
      <c r="A41" s="14" t="s">
        <v>111</v>
      </c>
      <c r="B41" s="30" t="n">
        <f aca="false">B39-B40</f>
        <v>36400</v>
      </c>
      <c r="C41" s="30" t="n">
        <f aca="false">C39-C40</f>
        <v>40400</v>
      </c>
      <c r="D41" s="30" t="n">
        <f aca="false">D39-D40</f>
        <v>38400</v>
      </c>
    </row>
    <row r="42" customFormat="false" ht="15" hidden="false" customHeight="true" outlineLevel="0" collapsed="false">
      <c r="A42" s="4" t="s">
        <v>112</v>
      </c>
      <c r="B42" s="31" t="s">
        <v>113</v>
      </c>
      <c r="C42" s="31"/>
      <c r="D42" s="31"/>
    </row>
    <row r="43" customFormat="false" ht="21.75" hidden="false" customHeight="true" outlineLevel="0" collapsed="false">
      <c r="A43" s="21" t="s">
        <v>114</v>
      </c>
      <c r="B43" s="21"/>
      <c r="C43" s="21"/>
      <c r="D43" s="21"/>
    </row>
    <row r="44" customFormat="false" ht="15" hidden="false" customHeight="true" outlineLevel="0" collapsed="false">
      <c r="A44" s="4" t="s">
        <v>115</v>
      </c>
      <c r="B44" s="31" t="s">
        <v>116</v>
      </c>
      <c r="C44" s="31"/>
      <c r="D44" s="31"/>
    </row>
    <row r="45" customFormat="false" ht="15" hidden="false" customHeight="true" outlineLevel="0" collapsed="false">
      <c r="A45" s="4" t="s">
        <v>117</v>
      </c>
      <c r="B45" s="31" t="s">
        <v>118</v>
      </c>
      <c r="C45" s="31"/>
      <c r="D45" s="31"/>
    </row>
    <row r="46" customFormat="false" ht="15" hidden="false" customHeight="true" outlineLevel="0" collapsed="false">
      <c r="A46" s="4" t="s">
        <v>119</v>
      </c>
      <c r="B46" s="31" t="s">
        <v>120</v>
      </c>
      <c r="C46" s="31"/>
      <c r="D46" s="31"/>
    </row>
    <row r="47" customFormat="false" ht="15" hidden="false" customHeight="true" outlineLevel="0" collapsed="false">
      <c r="A47" s="4" t="s">
        <v>121</v>
      </c>
      <c r="B47" s="31" t="s">
        <v>122</v>
      </c>
      <c r="C47" s="31"/>
      <c r="D47" s="31"/>
    </row>
    <row r="48" customFormat="false" ht="15" hidden="false" customHeight="true" outlineLevel="0" collapsed="false">
      <c r="A48" s="4" t="s">
        <v>123</v>
      </c>
      <c r="B48" s="31" t="s">
        <v>124</v>
      </c>
      <c r="C48" s="31"/>
      <c r="D48" s="31"/>
    </row>
    <row r="49" customFormat="false" ht="21.75" hidden="false" customHeight="true" outlineLevel="0" collapsed="false">
      <c r="A49" s="21" t="s">
        <v>125</v>
      </c>
      <c r="B49" s="21"/>
      <c r="C49" s="21"/>
      <c r="D49" s="21"/>
    </row>
    <row r="50" customFormat="false" ht="15" hidden="false" customHeight="true" outlineLevel="0" collapsed="false">
      <c r="A50" s="4" t="s">
        <v>126</v>
      </c>
      <c r="B50" s="31" t="s">
        <v>127</v>
      </c>
      <c r="C50" s="31"/>
      <c r="D50" s="31"/>
    </row>
    <row r="51" customFormat="false" ht="15" hidden="false" customHeight="true" outlineLevel="0" collapsed="false">
      <c r="A51" s="4" t="s">
        <v>128</v>
      </c>
      <c r="B51" s="31" t="s">
        <v>129</v>
      </c>
      <c r="C51" s="31"/>
      <c r="D51" s="31"/>
    </row>
    <row r="52" customFormat="false" ht="15" hidden="false" customHeight="true" outlineLevel="0" collapsed="false">
      <c r="A52" s="4" t="s">
        <v>130</v>
      </c>
      <c r="B52" s="31" t="s">
        <v>131</v>
      </c>
      <c r="C52" s="31"/>
      <c r="D52" s="31"/>
    </row>
    <row r="53" customFormat="false" ht="15" hidden="false" customHeight="true" outlineLevel="0" collapsed="false">
      <c r="A53" s="4" t="s">
        <v>132</v>
      </c>
      <c r="B53" s="31" t="s">
        <v>133</v>
      </c>
      <c r="C53" s="31"/>
      <c r="D53" s="31"/>
    </row>
    <row r="54" customFormat="false" ht="15" hidden="false" customHeight="true" outlineLevel="0" collapsed="false">
      <c r="A54" s="4" t="s">
        <v>134</v>
      </c>
      <c r="B54" s="31" t="s">
        <v>135</v>
      </c>
      <c r="C54" s="31"/>
      <c r="D54" s="31"/>
    </row>
  </sheetData>
  <mergeCells count="10">
    <mergeCell ref="A1:D1"/>
    <mergeCell ref="A2:D2"/>
    <mergeCell ref="A7:D7"/>
    <mergeCell ref="A14:D14"/>
    <mergeCell ref="A16:D16"/>
    <mergeCell ref="A21:D21"/>
    <mergeCell ref="A26:D26"/>
    <mergeCell ref="A31:D31"/>
    <mergeCell ref="A43:D43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2026-03-17T16:29:27Z</dcterms:created>
  <dc:creator>openpyxl</dc:creator>
  <dc:description/>
  <dc:language>en-US</dc:language>
  <cp:lastModifiedBy/>
  <dcterms:modified xsi:type="dcterms:W3CDTF">2026-03-17T22:19:51Z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